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365-my.sharepoint.com/personal/aminah_izazi_tm_com_my1/Documents/Documents/VS Code/"/>
    </mc:Choice>
  </mc:AlternateContent>
  <xr:revisionPtr revIDLastSave="1444" documentId="14_{EA5759CD-77BE-4769-9996-D07B3A23EF31}" xr6:coauthVersionLast="47" xr6:coauthVersionMax="47" xr10:uidLastSave="{D54FBF38-71B5-4AB4-B0FE-AE6F5655D4A3}"/>
  <bookViews>
    <workbookView xWindow="-108" yWindow="-108" windowWidth="23256" windowHeight="12576" activeTab="4" xr2:uid="{63D26A3C-1657-43F1-8D86-23BA2E534788}"/>
  </bookViews>
  <sheets>
    <sheet name="COLC" sheetId="7" r:id="rId1"/>
    <sheet name="CIC (New)" sheetId="9" r:id="rId2"/>
    <sheet name="CSC(New)" sheetId="6" r:id="rId3"/>
    <sheet name="CPC (New)" sheetId="4" r:id="rId4"/>
    <sheet name="JNC (New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8" i="9"/>
  <c r="G2" i="9"/>
  <c r="G5" i="6"/>
  <c r="G2" i="6"/>
  <c r="D2" i="4"/>
  <c r="G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G46" i="4" s="1"/>
  <c r="D47" i="4"/>
  <c r="D48" i="4"/>
  <c r="D49" i="4"/>
  <c r="D50" i="4"/>
  <c r="D51" i="4"/>
  <c r="D52" i="4"/>
  <c r="G52" i="4" s="1"/>
  <c r="D53" i="4"/>
  <c r="G53" i="4" s="1"/>
  <c r="D54" i="4"/>
  <c r="G54" i="4" s="1"/>
  <c r="D55" i="4"/>
  <c r="D56" i="4"/>
  <c r="G56" i="4" s="1"/>
  <c r="D57" i="4"/>
  <c r="D58" i="4"/>
  <c r="G58" i="4" s="1"/>
  <c r="D59" i="4"/>
  <c r="G59" i="4" s="1"/>
  <c r="D60" i="4"/>
  <c r="G60" i="4" s="1"/>
  <c r="D61" i="4"/>
  <c r="D62" i="4"/>
  <c r="D63" i="4"/>
  <c r="D64" i="4"/>
  <c r="G64" i="4" s="1"/>
  <c r="D65" i="4"/>
  <c r="G65" i="4" s="1"/>
  <c r="D8" i="9"/>
  <c r="D3" i="6"/>
  <c r="D4" i="6"/>
  <c r="D5" i="6"/>
  <c r="D6" i="6"/>
  <c r="D7" i="6"/>
  <c r="D8" i="6"/>
  <c r="D9" i="6"/>
  <c r="D10" i="6"/>
  <c r="D2" i="6"/>
  <c r="D3" i="9"/>
  <c r="D4" i="9"/>
  <c r="D5" i="9"/>
  <c r="D6" i="9"/>
  <c r="D7" i="9"/>
  <c r="D2" i="9"/>
  <c r="D67" i="4"/>
  <c r="G67" i="4" s="1"/>
  <c r="D66" i="4"/>
  <c r="G66" i="4" s="1"/>
  <c r="D4" i="5"/>
  <c r="D5" i="5"/>
  <c r="D6" i="5"/>
  <c r="D7" i="5"/>
  <c r="D8" i="5"/>
  <c r="D9" i="5"/>
  <c r="D10" i="5"/>
  <c r="D11" i="5"/>
  <c r="D12" i="5"/>
  <c r="D13" i="5"/>
  <c r="D14" i="5"/>
  <c r="D16" i="5"/>
  <c r="D17" i="5"/>
  <c r="D3" i="5"/>
  <c r="G55" i="4"/>
  <c r="G57" i="4"/>
  <c r="G61" i="4"/>
  <c r="G62" i="4"/>
  <c r="G63" i="4"/>
  <c r="G42" i="4" l="1"/>
  <c r="G3" i="4"/>
  <c r="G16" i="4"/>
  <c r="G29" i="4"/>
  <c r="G48" i="4"/>
</calcChain>
</file>

<file path=xl/sharedStrings.xml><?xml version="1.0" encoding="utf-8"?>
<sst xmlns="http://schemas.openxmlformats.org/spreadsheetml/2006/main" count="253" uniqueCount="183">
  <si>
    <t>Item</t>
  </si>
  <si>
    <t>No Of Item</t>
  </si>
  <si>
    <t>Mandays</t>
  </si>
  <si>
    <t>Remarks</t>
  </si>
  <si>
    <t>Assessment</t>
  </si>
  <si>
    <t>Per detect</t>
  </si>
  <si>
    <t>Main Offer</t>
  </si>
  <si>
    <t>Additional Offer</t>
  </si>
  <si>
    <t>Sales Category</t>
  </si>
  <si>
    <t>Per bundle</t>
  </si>
  <si>
    <t>Goods</t>
  </si>
  <si>
    <t>Configuration of base information, Product Attribute Feature</t>
  </si>
  <si>
    <t>Agreement</t>
  </si>
  <si>
    <t>Promotion Manager View</t>
  </si>
  <si>
    <t>Base Information, Sales Condition, Sales Permission, Promotion Attribute, Promotion Member, Promotion Bonus</t>
  </si>
  <si>
    <t>TCOP</t>
  </si>
  <si>
    <t>Offer Group</t>
  </si>
  <si>
    <t>SKU/SPU</t>
  </si>
  <si>
    <t>SPU information, SPU Attribute Group, SKU Attribute, SKU Information.</t>
  </si>
  <si>
    <t>Configuration of order action, rule, condition</t>
  </si>
  <si>
    <t>Zone</t>
  </si>
  <si>
    <t>Zone Map, zone detail , zone value</t>
  </si>
  <si>
    <t>RLC</t>
  </si>
  <si>
    <t>Per rule</t>
  </si>
  <si>
    <t>UT</t>
  </si>
  <si>
    <t>Per Offer</t>
  </si>
  <si>
    <t>Additional Offer promo discount</t>
  </si>
  <si>
    <t>SKU</t>
  </si>
  <si>
    <t>Rename offer</t>
  </si>
  <si>
    <t>SQL</t>
  </si>
  <si>
    <t>update tariff plan</t>
  </si>
  <si>
    <t>update pricing plan</t>
  </si>
  <si>
    <t>Remark</t>
  </si>
  <si>
    <t>Consumption Type</t>
  </si>
  <si>
    <t>Time Spent (mins)</t>
  </si>
  <si>
    <t>Config Item</t>
  </si>
  <si>
    <t>Event</t>
  </si>
  <si>
    <t>Event Details</t>
  </si>
  <si>
    <t>Configure event details (parameters)</t>
  </si>
  <si>
    <t>Flow</t>
  </si>
  <si>
    <t>Flow Condition</t>
  </si>
  <si>
    <t>Configure flow condition</t>
  </si>
  <si>
    <t>Judgement Rule</t>
  </si>
  <si>
    <t>Configure judgement rule(s)</t>
  </si>
  <si>
    <t>Set Specified Members</t>
  </si>
  <si>
    <t>Configure specified members (subarray)</t>
  </si>
  <si>
    <t>Query</t>
  </si>
  <si>
    <t>Configure query (to get data from specific table)</t>
  </si>
  <si>
    <t>Outbound Message (Process)</t>
  </si>
  <si>
    <t>Configure Email/ SMS/ Web Message/ Whatsapp</t>
  </si>
  <si>
    <t>Config Data</t>
  </si>
  <si>
    <t>Configure config data (additional parameter)</t>
  </si>
  <si>
    <t>Service Type Management</t>
  </si>
  <si>
    <t xml:space="preserve">Service Type Name
</t>
  </si>
  <si>
    <t>Configure service type details  (repetitive)</t>
  </si>
  <si>
    <t>Configure feature (repetitive)</t>
  </si>
  <si>
    <t>Configure workflow rule  (repetitive)</t>
  </si>
  <si>
    <t>Workflow Template</t>
  </si>
  <si>
    <t>Assignment Process</t>
  </si>
  <si>
    <t>Configure process name</t>
  </si>
  <si>
    <t>Configure workflow</t>
  </si>
  <si>
    <t>Activity Rule</t>
  </si>
  <si>
    <t>Dispatch Rule</t>
  </si>
  <si>
    <t>Configure dispatch rule</t>
  </si>
  <si>
    <t>Activity Template</t>
  </si>
  <si>
    <t>Activity Name</t>
  </si>
  <si>
    <t>Configure activity name</t>
  </si>
  <si>
    <t>Closure Reason</t>
  </si>
  <si>
    <t>Event Name</t>
  </si>
  <si>
    <t>Configure reason name and code</t>
  </si>
  <si>
    <t>Configuration Parameter</t>
  </si>
  <si>
    <t>Configure parameter(s)</t>
  </si>
  <si>
    <t>Bundle Offer</t>
  </si>
  <si>
    <t>Base Information
LifeCycle Apply
Offer Version</t>
  </si>
  <si>
    <t>Configure basic information for bundle offer
Configure offer version effective/expiry date</t>
  </si>
  <si>
    <t>Offer Group (bundle level)</t>
  </si>
  <si>
    <t>Configure additional offer at bundle level (convergence discount, rebate, etc)
Configure offer group in Offer Group view</t>
  </si>
  <si>
    <t>Bundle Member
Bundle Restrict Rule</t>
  </si>
  <si>
    <t>Configure bundle members in bundle offer</t>
  </si>
  <si>
    <t>Bundle Member Group</t>
  </si>
  <si>
    <t>Configure customized offer groups under bundle member</t>
  </si>
  <si>
    <t>Offer Attribute</t>
  </si>
  <si>
    <t>Configure bundle attributes</t>
  </si>
  <si>
    <t>Offer Relationship</t>
  </si>
  <si>
    <t>Configure bundle offer relationship</t>
  </si>
  <si>
    <t>Sales Condition</t>
  </si>
  <si>
    <t>Configure sales area, sales channel, member sales channel, sales group</t>
  </si>
  <si>
    <t>Price For Tariff</t>
  </si>
  <si>
    <t>Configure tariff plan parameter
Configure offer price parameter</t>
  </si>
  <si>
    <t>Advanced Sales Condition</t>
  </si>
  <si>
    <t>Configure specific rule in Rule Event View</t>
  </si>
  <si>
    <t>Quantity Limit</t>
  </si>
  <si>
    <t>Configure limit rule in Time Limit Rule Management view</t>
  </si>
  <si>
    <t>Sales Permissions</t>
  </si>
  <si>
    <t>Configure sales role, sales organization, sales staff</t>
  </si>
  <si>
    <t>Notification Configuration</t>
  </si>
  <si>
    <t>Configure KCI for offer expiry</t>
  </si>
  <si>
    <t>Agreement Restrict</t>
  </si>
  <si>
    <t>Configure agreement</t>
  </si>
  <si>
    <t>Base Information
Lifecycle Type
Offer Version</t>
  </si>
  <si>
    <t>Configure basic information for main offer
Configure offer version effective/expiry date</t>
  </si>
  <si>
    <t>Product Specification</t>
  </si>
  <si>
    <t>Configure main offer association with main product and attributes</t>
  </si>
  <si>
    <t>Configure additional offer in main offer
Configure offer group in Offer Group view</t>
  </si>
  <si>
    <t>Configure main offer relationship</t>
  </si>
  <si>
    <t>Price for Tariff</t>
  </si>
  <si>
    <t>Configure main offer attributes</t>
  </si>
  <si>
    <t>Price for OTC</t>
  </si>
  <si>
    <t>Configure price plan in One Time Charge &gt; Price Plan view</t>
  </si>
  <si>
    <t>Base Information
Lifecycle Type</t>
  </si>
  <si>
    <t>Configure basic information for additional offer
Configure offer version effective/expiry date</t>
  </si>
  <si>
    <t>Configure additional offer attributes</t>
  </si>
  <si>
    <t>Configure additional offer association with main product and attributes</t>
  </si>
  <si>
    <t>Add OTC to offer</t>
  </si>
  <si>
    <t>Configure additional offer relationship</t>
  </si>
  <si>
    <t>Belong in Offer Group</t>
  </si>
  <si>
    <t>Package</t>
  </si>
  <si>
    <t>Configure additional offer included as package</t>
  </si>
  <si>
    <t>Base Information</t>
  </si>
  <si>
    <t>Product Attribute Feature</t>
  </si>
  <si>
    <t>Related Product</t>
  </si>
  <si>
    <t>Main Product</t>
  </si>
  <si>
    <t>Password Generation Rule</t>
  </si>
  <si>
    <t>Apply Number &amp; SIM Config</t>
  </si>
  <si>
    <t>Tariff Plan</t>
  </si>
  <si>
    <t>Configuration of tariff plan</t>
  </si>
  <si>
    <t>Price Plan</t>
  </si>
  <si>
    <t>Configuration of price plan, price plan condition, benefit, priority</t>
  </si>
  <si>
    <t>OTC Price Plan / Payment Decision</t>
  </si>
  <si>
    <t>Configuration of Base Information, Agreement Object, Penalty, Action Rule</t>
  </si>
  <si>
    <t>Upload TCOP mapping in COP Offer Mapping view</t>
  </si>
  <si>
    <t>Configuration of base information, member list,  group tag, group relationship, group sales rule, attached offer, offer default select, offer hidden mode</t>
  </si>
  <si>
    <t>Time Limit Rule Management</t>
  </si>
  <si>
    <t>Configuration of quantity limit by subscriber/order/instance</t>
  </si>
  <si>
    <t>CRM Rule Action</t>
  </si>
  <si>
    <t>Update existing rule configuration</t>
  </si>
  <si>
    <t>CPC Business Rule</t>
  </si>
  <si>
    <t>Configuration of specific subscription rule for bundle/main offer</t>
  </si>
  <si>
    <t>Tag Manager View</t>
  </si>
  <si>
    <t>Configuration of new offer group tag</t>
  </si>
  <si>
    <t>No</t>
  </si>
  <si>
    <t>Duration (Min)</t>
  </si>
  <si>
    <t>Balance / Account Item Type</t>
  </si>
  <si>
    <t>To create a new account item type. To filled up account item type name, account balance type, adjust catg, etc</t>
  </si>
  <si>
    <t>To create a new consumption type that tie to the account item type. This consumption type will be used by CPC to create price plan/tarrif plan/otc</t>
  </si>
  <si>
    <t>Merge</t>
  </si>
  <si>
    <t>Bill format merging is to define the account item type's charge section in bill. E.g monthly charge, other charge, discounts</t>
  </si>
  <si>
    <t>Tax code S8/NT</t>
  </si>
  <si>
    <t>To configure the tax code of the account item type. Tax code for ST is default, no need to configure. NT and S8 need to configure</t>
  </si>
  <si>
    <t>Apportion Recurring and Apportion Discount</t>
  </si>
  <si>
    <t>To configure the apportion rule for discount/rebate/waiver</t>
  </si>
  <si>
    <t>Adjustment mapping rule</t>
  </si>
  <si>
    <t>To configure the adjustment mapping rule for journal (BA and UBA)</t>
  </si>
  <si>
    <t>GL mapping rule</t>
  </si>
  <si>
    <t>To configure the GL mapping rule for journal (BE, UBE, BUE, OCR)</t>
  </si>
  <si>
    <t>Journal rule condition</t>
  </si>
  <si>
    <t>To configure the condition for discount/rebate/waiver without journal UBE and BUE</t>
  </si>
  <si>
    <t>Apportion rule</t>
  </si>
  <si>
    <t>To configure the bundle splitting</t>
  </si>
  <si>
    <t>Fair apportion object</t>
  </si>
  <si>
    <t>To configure fair apportion object</t>
  </si>
  <si>
    <t>Fair apportion catalog</t>
  </si>
  <si>
    <t>To configure fair apportion catalog</t>
  </si>
  <si>
    <t xml:space="preserve">Journal rule for one time charge </t>
  </si>
  <si>
    <t>To configure journal rule for OTC payment type</t>
  </si>
  <si>
    <t>Exclusion of Account Item Type from normal journal workflow</t>
  </si>
  <si>
    <t>To configure the condition to exclude the Account Item Type from the Account Attribute validation againts the Cost Center and Profit Center mapping rules</t>
  </si>
  <si>
    <t>Bill template</t>
  </si>
  <si>
    <t>To configure bill template for bill presentment</t>
  </si>
  <si>
    <t>Breakdown Mandays</t>
  </si>
  <si>
    <t>Account Item Group</t>
  </si>
  <si>
    <t>To update existing Account Item Group</t>
  </si>
  <si>
    <t>To create new  Account Item Group</t>
  </si>
  <si>
    <t>Bundle Name</t>
  </si>
  <si>
    <t>Order Action, Rule, Condition</t>
  </si>
  <si>
    <t>Base Information, Agreement Object, Penalty, Action Rule</t>
  </si>
  <si>
    <t>TCOP mapping</t>
  </si>
  <si>
    <t>Base Information, Member List,  Group Tag, Group Relationship, Group Sales Rule, Attached Offer, Offer Default Select, Offer Hidden Mode</t>
  </si>
  <si>
    <t>Rule</t>
  </si>
  <si>
    <t>Quantity limit by subscriber/order/instance</t>
  </si>
  <si>
    <t xml:space="preserve">Rule </t>
  </si>
  <si>
    <t>Specific subscription rule for bundle/main offer</t>
  </si>
  <si>
    <t>Offer Group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</si>
</sst>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0" fillId="0" borderId="8" xfId="0" applyBorder="1"/>
    <xf numFmtId="0" fontId="5" fillId="7" borderId="0" xfId="0" applyFont="1" applyFill="1"/>
    <xf numFmtId="0" fontId="0" fillId="0" borderId="0" xfId="0" applyAlignment="1">
      <alignment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/>
    <xf numFmtId="0" fontId="7" fillId="7" borderId="6" xfId="0" applyFont="1" applyFill="1" applyBorder="1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3" borderId="1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7C91-7D27-4EC2-A37A-B6B9C6BE3F0D}">
  <dimension ref="A1:D1"/>
  <sheetViews>
    <sheetView workbookViewId="0"/>
  </sheetViews>
  <sheetFormatPr defaultRowHeight="14.4" x14ac:dyDescent="0.3"/>
  <sheetData>
    <row r="1" spans="1:4" x14ac:dyDescent="0.3">
      <c r="A1" s="15" t="s">
        <v>0</v>
      </c>
      <c r="B1" s="16" t="s">
        <v>1</v>
      </c>
      <c r="C1" s="16" t="s">
        <v>2</v>
      </c>
      <c r="D1" s="1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45FD-B513-4178-9D7C-8964321ED9E5}">
  <dimension ref="A1:G9"/>
  <sheetViews>
    <sheetView workbookViewId="0">
      <selection activeCell="E3" sqref="E3:E6"/>
    </sheetView>
  </sheetViews>
  <sheetFormatPr defaultRowHeight="14.4" x14ac:dyDescent="0.3"/>
  <cols>
    <col min="1" max="1" width="23.6640625" bestFit="1" customWidth="1"/>
    <col min="2" max="2" width="10.5546875" bestFit="1" customWidth="1"/>
    <col min="3" max="3" width="17.44140625" bestFit="1" customWidth="1"/>
    <col min="4" max="4" width="13.109375" customWidth="1"/>
    <col min="5" max="5" width="30.109375" customWidth="1"/>
    <col min="6" max="6" width="43.44140625" bestFit="1" customWidth="1"/>
  </cols>
  <sheetData>
    <row r="1" spans="1:7" x14ac:dyDescent="0.3">
      <c r="A1" s="15" t="s">
        <v>0</v>
      </c>
      <c r="B1" s="16" t="s">
        <v>1</v>
      </c>
      <c r="C1" s="16" t="s">
        <v>34</v>
      </c>
      <c r="D1" s="16" t="s">
        <v>169</v>
      </c>
      <c r="E1" s="17" t="s">
        <v>35</v>
      </c>
      <c r="F1" s="19" t="s">
        <v>32</v>
      </c>
      <c r="G1" s="19" t="s">
        <v>2</v>
      </c>
    </row>
    <row r="2" spans="1:7" ht="18" customHeight="1" x14ac:dyDescent="0.3">
      <c r="A2" s="26" t="s">
        <v>36</v>
      </c>
      <c r="B2" s="1">
        <v>1</v>
      </c>
      <c r="C2" s="1">
        <v>5</v>
      </c>
      <c r="D2" s="28">
        <f>ROUNDUP(C2/480,2)</f>
        <v>0.02</v>
      </c>
      <c r="E2" s="27" t="s">
        <v>37</v>
      </c>
      <c r="F2" s="20" t="s">
        <v>38</v>
      </c>
      <c r="G2" s="28">
        <f>SUM(D2)</f>
        <v>0.02</v>
      </c>
    </row>
    <row r="3" spans="1:7" x14ac:dyDescent="0.3">
      <c r="A3" s="29" t="s">
        <v>39</v>
      </c>
      <c r="B3" s="1">
        <v>1</v>
      </c>
      <c r="C3" s="1">
        <v>5</v>
      </c>
      <c r="D3" s="28">
        <f t="shared" ref="D3:D8" si="0">ROUNDUP(C3/480,2)</f>
        <v>0.02</v>
      </c>
      <c r="E3" s="27" t="s">
        <v>40</v>
      </c>
      <c r="F3" t="s">
        <v>41</v>
      </c>
      <c r="G3" s="33">
        <f>SUM(D3:D7)</f>
        <v>0.1</v>
      </c>
    </row>
    <row r="4" spans="1:7" x14ac:dyDescent="0.3">
      <c r="A4" s="29"/>
      <c r="B4" s="1">
        <v>1</v>
      </c>
      <c r="C4" s="1">
        <v>2</v>
      </c>
      <c r="D4" s="28">
        <f t="shared" si="0"/>
        <v>0.01</v>
      </c>
      <c r="E4" s="27" t="s">
        <v>42</v>
      </c>
      <c r="F4" t="s">
        <v>43</v>
      </c>
      <c r="G4" s="34"/>
    </row>
    <row r="5" spans="1:7" x14ac:dyDescent="0.3">
      <c r="A5" s="29"/>
      <c r="B5" s="1">
        <v>1</v>
      </c>
      <c r="C5">
        <v>5</v>
      </c>
      <c r="D5" s="28">
        <f t="shared" si="0"/>
        <v>0.02</v>
      </c>
      <c r="E5" s="27" t="s">
        <v>44</v>
      </c>
      <c r="F5" t="s">
        <v>45</v>
      </c>
      <c r="G5" s="34"/>
    </row>
    <row r="6" spans="1:7" x14ac:dyDescent="0.3">
      <c r="A6" s="29"/>
      <c r="B6" s="1">
        <v>1</v>
      </c>
      <c r="C6">
        <v>2</v>
      </c>
      <c r="D6" s="28">
        <f t="shared" si="0"/>
        <v>0.01</v>
      </c>
      <c r="E6" s="27" t="s">
        <v>46</v>
      </c>
      <c r="F6" t="s">
        <v>47</v>
      </c>
      <c r="G6" s="34"/>
    </row>
    <row r="7" spans="1:7" x14ac:dyDescent="0.3">
      <c r="A7" s="29"/>
      <c r="B7" s="1">
        <v>1</v>
      </c>
      <c r="C7">
        <v>15</v>
      </c>
      <c r="D7" s="28">
        <f t="shared" si="0"/>
        <v>0.04</v>
      </c>
      <c r="E7" s="27" t="s">
        <v>48</v>
      </c>
      <c r="F7" t="s">
        <v>49</v>
      </c>
      <c r="G7" s="34"/>
    </row>
    <row r="8" spans="1:7" x14ac:dyDescent="0.3">
      <c r="A8" t="s">
        <v>50</v>
      </c>
      <c r="B8">
        <v>1</v>
      </c>
      <c r="C8">
        <v>2</v>
      </c>
      <c r="D8" s="28">
        <f t="shared" si="0"/>
        <v>0.01</v>
      </c>
      <c r="E8" t="s">
        <v>50</v>
      </c>
      <c r="F8" t="s">
        <v>51</v>
      </c>
      <c r="G8" s="32">
        <f>SUM(D8)</f>
        <v>0.01</v>
      </c>
    </row>
    <row r="9" spans="1:7" x14ac:dyDescent="0.3">
      <c r="D9" s="1"/>
    </row>
  </sheetData>
  <mergeCells count="2">
    <mergeCell ref="A3:A7"/>
    <mergeCell ref="G3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F697-8BA9-4F97-8B1E-2355AB484243}">
  <dimension ref="A1:G10"/>
  <sheetViews>
    <sheetView workbookViewId="0">
      <selection activeCell="A7" sqref="A7"/>
    </sheetView>
  </sheetViews>
  <sheetFormatPr defaultRowHeight="14.4" x14ac:dyDescent="0.3"/>
  <cols>
    <col min="1" max="1" width="23.6640625" bestFit="1" customWidth="1"/>
    <col min="2" max="2" width="10.5546875" bestFit="1" customWidth="1"/>
    <col min="3" max="3" width="17.44140625" bestFit="1" customWidth="1"/>
    <col min="4" max="4" width="18.109375" bestFit="1" customWidth="1"/>
    <col min="5" max="5" width="24.44140625" customWidth="1"/>
    <col min="6" max="6" width="37.109375" bestFit="1" customWidth="1"/>
  </cols>
  <sheetData>
    <row r="1" spans="1:7" x14ac:dyDescent="0.3">
      <c r="A1" s="15" t="s">
        <v>0</v>
      </c>
      <c r="B1" s="16" t="s">
        <v>1</v>
      </c>
      <c r="C1" s="16" t="s">
        <v>34</v>
      </c>
      <c r="D1" s="16" t="s">
        <v>169</v>
      </c>
      <c r="E1" s="17" t="s">
        <v>35</v>
      </c>
      <c r="F1" s="19" t="s">
        <v>32</v>
      </c>
      <c r="G1" s="19" t="s">
        <v>2</v>
      </c>
    </row>
    <row r="2" spans="1:7" ht="18" customHeight="1" x14ac:dyDescent="0.3">
      <c r="A2" s="31" t="s">
        <v>52</v>
      </c>
      <c r="B2" s="1">
        <v>1</v>
      </c>
      <c r="C2" s="1">
        <v>5</v>
      </c>
      <c r="D2" s="28">
        <f>ROUNDUP(C2/480,2)</f>
        <v>0.02</v>
      </c>
      <c r="E2" s="30" t="s">
        <v>53</v>
      </c>
      <c r="F2" s="20" t="s">
        <v>54</v>
      </c>
      <c r="G2" s="33">
        <f>SUM(D2:D4)</f>
        <v>6.9999999999999993E-2</v>
      </c>
    </row>
    <row r="3" spans="1:7" x14ac:dyDescent="0.3">
      <c r="A3" s="31"/>
      <c r="B3" s="1">
        <v>1</v>
      </c>
      <c r="C3" s="1">
        <v>15</v>
      </c>
      <c r="D3" s="28">
        <f t="shared" ref="D3:D10" si="0">ROUNDUP(C3/480,2)</f>
        <v>0.04</v>
      </c>
      <c r="E3" s="30"/>
      <c r="F3" t="s">
        <v>55</v>
      </c>
      <c r="G3" s="33"/>
    </row>
    <row r="4" spans="1:7" x14ac:dyDescent="0.3">
      <c r="A4" s="31"/>
      <c r="B4" s="1">
        <v>1</v>
      </c>
      <c r="C4" s="1">
        <v>2</v>
      </c>
      <c r="D4" s="28">
        <f t="shared" si="0"/>
        <v>0.01</v>
      </c>
      <c r="E4" s="30"/>
      <c r="F4" t="s">
        <v>56</v>
      </c>
      <c r="G4" s="33"/>
    </row>
    <row r="5" spans="1:7" x14ac:dyDescent="0.3">
      <c r="A5" s="31" t="s">
        <v>57</v>
      </c>
      <c r="B5">
        <v>1</v>
      </c>
      <c r="C5">
        <v>2</v>
      </c>
      <c r="D5" s="28">
        <f t="shared" si="0"/>
        <v>0.01</v>
      </c>
      <c r="E5" s="30" t="s">
        <v>58</v>
      </c>
      <c r="F5" t="s">
        <v>59</v>
      </c>
      <c r="G5" s="33">
        <f>SUM(D5:D6)</f>
        <v>0.02</v>
      </c>
    </row>
    <row r="6" spans="1:7" x14ac:dyDescent="0.3">
      <c r="A6" s="31"/>
      <c r="B6">
        <v>1</v>
      </c>
      <c r="C6">
        <v>2</v>
      </c>
      <c r="D6" s="28">
        <f t="shared" si="0"/>
        <v>0.01</v>
      </c>
      <c r="E6" s="30"/>
      <c r="F6" t="s">
        <v>60</v>
      </c>
      <c r="G6" s="34"/>
    </row>
    <row r="7" spans="1:7" x14ac:dyDescent="0.3">
      <c r="A7" t="s">
        <v>61</v>
      </c>
      <c r="B7">
        <v>1</v>
      </c>
      <c r="C7">
        <v>2</v>
      </c>
      <c r="D7" s="28">
        <f t="shared" si="0"/>
        <v>0.01</v>
      </c>
      <c r="E7" t="s">
        <v>62</v>
      </c>
      <c r="F7" t="s">
        <v>63</v>
      </c>
      <c r="G7">
        <v>0.01</v>
      </c>
    </row>
    <row r="8" spans="1:7" x14ac:dyDescent="0.3">
      <c r="A8" t="s">
        <v>64</v>
      </c>
      <c r="B8">
        <v>1</v>
      </c>
      <c r="C8">
        <v>2</v>
      </c>
      <c r="D8" s="28">
        <f t="shared" si="0"/>
        <v>0.01</v>
      </c>
      <c r="E8" t="s">
        <v>65</v>
      </c>
      <c r="F8" t="s">
        <v>66</v>
      </c>
      <c r="G8">
        <v>0.01</v>
      </c>
    </row>
    <row r="9" spans="1:7" x14ac:dyDescent="0.3">
      <c r="A9" t="s">
        <v>67</v>
      </c>
      <c r="B9">
        <v>1</v>
      </c>
      <c r="C9">
        <v>2</v>
      </c>
      <c r="D9" s="28">
        <f t="shared" si="0"/>
        <v>0.01</v>
      </c>
      <c r="E9" t="s">
        <v>68</v>
      </c>
      <c r="F9" t="s">
        <v>69</v>
      </c>
      <c r="G9">
        <v>0.01</v>
      </c>
    </row>
    <row r="10" spans="1:7" x14ac:dyDescent="0.3">
      <c r="A10" t="s">
        <v>70</v>
      </c>
      <c r="B10">
        <v>1</v>
      </c>
      <c r="C10">
        <v>2</v>
      </c>
      <c r="D10" s="28">
        <f t="shared" si="0"/>
        <v>0.01</v>
      </c>
      <c r="E10" t="s">
        <v>70</v>
      </c>
      <c r="F10" t="s">
        <v>71</v>
      </c>
      <c r="G10">
        <v>0.01</v>
      </c>
    </row>
  </sheetData>
  <mergeCells count="6">
    <mergeCell ref="E2:E4"/>
    <mergeCell ref="A2:A4"/>
    <mergeCell ref="E5:E6"/>
    <mergeCell ref="A5:A6"/>
    <mergeCell ref="G2:G4"/>
    <mergeCell ref="G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B2C6-DFD1-4C08-8D00-BE58AEE3ED22}">
  <dimension ref="A1:G81"/>
  <sheetViews>
    <sheetView zoomScaleNormal="100" workbookViewId="0">
      <selection activeCell="E11" sqref="E11"/>
    </sheetView>
  </sheetViews>
  <sheetFormatPr defaultRowHeight="14.4" x14ac:dyDescent="0.3"/>
  <cols>
    <col min="1" max="1" width="29" bestFit="1" customWidth="1"/>
    <col min="2" max="2" width="12.88671875" bestFit="1" customWidth="1"/>
    <col min="3" max="3" width="19.6640625" bestFit="1" customWidth="1"/>
    <col min="4" max="4" width="20.5546875" bestFit="1" customWidth="1"/>
    <col min="5" max="5" width="29.6640625" customWidth="1"/>
    <col min="6" max="6" width="71.109375" customWidth="1"/>
    <col min="7" max="7" width="14.109375" bestFit="1" customWidth="1"/>
  </cols>
  <sheetData>
    <row r="1" spans="1:7" x14ac:dyDescent="0.3">
      <c r="A1" s="37" t="s">
        <v>0</v>
      </c>
      <c r="B1" s="37" t="s">
        <v>1</v>
      </c>
      <c r="C1" s="37" t="s">
        <v>34</v>
      </c>
      <c r="D1" s="37" t="s">
        <v>169</v>
      </c>
      <c r="E1" s="37" t="s">
        <v>35</v>
      </c>
      <c r="F1" s="37" t="s">
        <v>3</v>
      </c>
      <c r="G1" s="37" t="s">
        <v>2</v>
      </c>
    </row>
    <row r="2" spans="1:7" x14ac:dyDescent="0.3">
      <c r="A2" s="38" t="s">
        <v>4</v>
      </c>
      <c r="B2" s="38">
        <v>1</v>
      </c>
      <c r="C2" s="38">
        <v>20</v>
      </c>
      <c r="D2" s="38">
        <f t="shared" ref="D2:D33" si="0">ROUND(C2/480,3)</f>
        <v>4.2000000000000003E-2</v>
      </c>
      <c r="E2" s="38" t="s">
        <v>4</v>
      </c>
      <c r="F2" s="38" t="s">
        <v>5</v>
      </c>
      <c r="G2" s="5">
        <f t="shared" ref="G2" si="1">SUM(D2)</f>
        <v>4.2000000000000003E-2</v>
      </c>
    </row>
    <row r="3" spans="1:7" ht="43.2" x14ac:dyDescent="0.3">
      <c r="A3" s="44" t="s">
        <v>72</v>
      </c>
      <c r="B3" s="47">
        <v>1</v>
      </c>
      <c r="C3" s="39">
        <v>1</v>
      </c>
      <c r="D3" s="39">
        <f t="shared" si="0"/>
        <v>2E-3</v>
      </c>
      <c r="E3" s="40" t="s">
        <v>73</v>
      </c>
      <c r="F3" s="41" t="s">
        <v>74</v>
      </c>
      <c r="G3" s="5">
        <f>SUM(D3:D15)</f>
        <v>0.255</v>
      </c>
    </row>
    <row r="4" spans="1:7" ht="28.8" x14ac:dyDescent="0.3">
      <c r="A4" s="45"/>
      <c r="B4" s="48"/>
      <c r="C4" s="39">
        <v>5</v>
      </c>
      <c r="D4" s="39">
        <f t="shared" si="0"/>
        <v>0.01</v>
      </c>
      <c r="E4" s="41" t="s">
        <v>75</v>
      </c>
      <c r="F4" s="41" t="s">
        <v>76</v>
      </c>
      <c r="G4" s="5"/>
    </row>
    <row r="5" spans="1:7" ht="28.8" x14ac:dyDescent="0.3">
      <c r="A5" s="45"/>
      <c r="B5" s="48"/>
      <c r="C5" s="39">
        <v>10</v>
      </c>
      <c r="D5" s="39">
        <f t="shared" si="0"/>
        <v>2.1000000000000001E-2</v>
      </c>
      <c r="E5" s="41" t="s">
        <v>77</v>
      </c>
      <c r="F5" s="41" t="s">
        <v>78</v>
      </c>
      <c r="G5" s="5"/>
    </row>
    <row r="6" spans="1:7" x14ac:dyDescent="0.3">
      <c r="A6" s="45"/>
      <c r="B6" s="48"/>
      <c r="C6" s="39">
        <v>30</v>
      </c>
      <c r="D6" s="39">
        <f t="shared" si="0"/>
        <v>6.3E-2</v>
      </c>
      <c r="E6" s="41" t="s">
        <v>79</v>
      </c>
      <c r="F6" s="41" t="s">
        <v>80</v>
      </c>
      <c r="G6" s="5"/>
    </row>
    <row r="7" spans="1:7" x14ac:dyDescent="0.3">
      <c r="A7" s="45"/>
      <c r="B7" s="48"/>
      <c r="C7" s="39">
        <v>1</v>
      </c>
      <c r="D7" s="39">
        <f t="shared" si="0"/>
        <v>2E-3</v>
      </c>
      <c r="E7" s="41" t="s">
        <v>81</v>
      </c>
      <c r="F7" s="41" t="s">
        <v>82</v>
      </c>
      <c r="G7" s="5"/>
    </row>
    <row r="8" spans="1:7" x14ac:dyDescent="0.3">
      <c r="A8" s="45"/>
      <c r="B8" s="48"/>
      <c r="C8" s="39">
        <v>60</v>
      </c>
      <c r="D8" s="39">
        <f t="shared" si="0"/>
        <v>0.125</v>
      </c>
      <c r="E8" s="41" t="s">
        <v>83</v>
      </c>
      <c r="F8" s="41" t="s">
        <v>84</v>
      </c>
      <c r="G8" s="5"/>
    </row>
    <row r="9" spans="1:7" x14ac:dyDescent="0.3">
      <c r="A9" s="45"/>
      <c r="B9" s="48"/>
      <c r="C9" s="39">
        <v>5</v>
      </c>
      <c r="D9" s="39">
        <f t="shared" si="0"/>
        <v>0.01</v>
      </c>
      <c r="E9" s="41" t="s">
        <v>85</v>
      </c>
      <c r="F9" s="41" t="s">
        <v>86</v>
      </c>
      <c r="G9" s="5"/>
    </row>
    <row r="10" spans="1:7" ht="28.8" x14ac:dyDescent="0.3">
      <c r="A10" s="45"/>
      <c r="B10" s="48"/>
      <c r="C10" s="39">
        <v>1</v>
      </c>
      <c r="D10" s="39">
        <f t="shared" si="0"/>
        <v>2E-3</v>
      </c>
      <c r="E10" s="41" t="s">
        <v>87</v>
      </c>
      <c r="F10" s="41" t="s">
        <v>88</v>
      </c>
      <c r="G10" s="5"/>
    </row>
    <row r="11" spans="1:7" x14ac:dyDescent="0.3">
      <c r="A11" s="45"/>
      <c r="B11" s="48"/>
      <c r="C11" s="39">
        <v>1</v>
      </c>
      <c r="D11" s="39">
        <f t="shared" si="0"/>
        <v>2E-3</v>
      </c>
      <c r="E11" s="41" t="s">
        <v>89</v>
      </c>
      <c r="F11" s="41" t="s">
        <v>90</v>
      </c>
      <c r="G11" s="5"/>
    </row>
    <row r="12" spans="1:7" x14ac:dyDescent="0.3">
      <c r="A12" s="45"/>
      <c r="B12" s="48"/>
      <c r="C12" s="39">
        <v>2</v>
      </c>
      <c r="D12" s="39">
        <f t="shared" si="0"/>
        <v>4.0000000000000001E-3</v>
      </c>
      <c r="E12" s="41" t="s">
        <v>91</v>
      </c>
      <c r="F12" s="41" t="s">
        <v>92</v>
      </c>
      <c r="G12" s="5"/>
    </row>
    <row r="13" spans="1:7" x14ac:dyDescent="0.3">
      <c r="A13" s="45"/>
      <c r="B13" s="48"/>
      <c r="C13" s="39">
        <v>5</v>
      </c>
      <c r="D13" s="39">
        <f t="shared" si="0"/>
        <v>0.01</v>
      </c>
      <c r="E13" s="41" t="s">
        <v>93</v>
      </c>
      <c r="F13" s="41" t="s">
        <v>94</v>
      </c>
      <c r="G13" s="5"/>
    </row>
    <row r="14" spans="1:7" x14ac:dyDescent="0.3">
      <c r="A14" s="45"/>
      <c r="B14" s="48"/>
      <c r="C14" s="39">
        <v>1</v>
      </c>
      <c r="D14" s="39">
        <f t="shared" si="0"/>
        <v>2E-3</v>
      </c>
      <c r="E14" s="41" t="s">
        <v>95</v>
      </c>
      <c r="F14" s="41" t="s">
        <v>96</v>
      </c>
      <c r="G14" s="5"/>
    </row>
    <row r="15" spans="1:7" x14ac:dyDescent="0.3">
      <c r="A15" s="46"/>
      <c r="B15" s="49"/>
      <c r="C15" s="39">
        <v>1</v>
      </c>
      <c r="D15" s="39">
        <f t="shared" si="0"/>
        <v>2E-3</v>
      </c>
      <c r="E15" s="41" t="s">
        <v>97</v>
      </c>
      <c r="F15" s="41" t="s">
        <v>98</v>
      </c>
      <c r="G15" s="5"/>
    </row>
    <row r="16" spans="1:7" ht="43.2" x14ac:dyDescent="0.3">
      <c r="A16" s="50" t="s">
        <v>6</v>
      </c>
      <c r="B16" s="50">
        <v>1</v>
      </c>
      <c r="C16" s="38">
        <v>1</v>
      </c>
      <c r="D16" s="38">
        <f t="shared" si="0"/>
        <v>2E-3</v>
      </c>
      <c r="E16" s="42" t="s">
        <v>99</v>
      </c>
      <c r="F16" s="42" t="s">
        <v>100</v>
      </c>
      <c r="G16" s="5">
        <f>SUM(D16:D28)</f>
        <v>0.14200000000000002</v>
      </c>
    </row>
    <row r="17" spans="1:7" x14ac:dyDescent="0.3">
      <c r="A17" s="51"/>
      <c r="B17" s="51"/>
      <c r="C17" s="38">
        <v>5</v>
      </c>
      <c r="D17" s="38">
        <f t="shared" si="0"/>
        <v>0.01</v>
      </c>
      <c r="E17" s="38" t="s">
        <v>101</v>
      </c>
      <c r="F17" s="42" t="s">
        <v>102</v>
      </c>
      <c r="G17" s="5"/>
    </row>
    <row r="18" spans="1:7" ht="28.8" x14ac:dyDescent="0.3">
      <c r="A18" s="51"/>
      <c r="B18" s="51"/>
      <c r="C18" s="38">
        <v>30</v>
      </c>
      <c r="D18" s="38">
        <f t="shared" si="0"/>
        <v>6.3E-2</v>
      </c>
      <c r="E18" s="38" t="s">
        <v>16</v>
      </c>
      <c r="F18" s="42" t="s">
        <v>103</v>
      </c>
      <c r="G18" s="5"/>
    </row>
    <row r="19" spans="1:7" x14ac:dyDescent="0.3">
      <c r="A19" s="51"/>
      <c r="B19" s="51"/>
      <c r="C19" s="38">
        <v>5</v>
      </c>
      <c r="D19" s="38">
        <f t="shared" si="0"/>
        <v>0.01</v>
      </c>
      <c r="E19" s="38" t="s">
        <v>85</v>
      </c>
      <c r="F19" s="42" t="s">
        <v>86</v>
      </c>
      <c r="G19" s="5"/>
    </row>
    <row r="20" spans="1:7" x14ac:dyDescent="0.3">
      <c r="A20" s="51"/>
      <c r="B20" s="51"/>
      <c r="C20" s="38">
        <v>15</v>
      </c>
      <c r="D20" s="38">
        <f t="shared" si="0"/>
        <v>3.1E-2</v>
      </c>
      <c r="E20" s="38" t="s">
        <v>83</v>
      </c>
      <c r="F20" s="42" t="s">
        <v>104</v>
      </c>
      <c r="G20" s="5"/>
    </row>
    <row r="21" spans="1:7" ht="28.8" x14ac:dyDescent="0.3">
      <c r="A21" s="51"/>
      <c r="B21" s="51"/>
      <c r="C21" s="38">
        <v>1</v>
      </c>
      <c r="D21" s="38">
        <f t="shared" si="0"/>
        <v>2E-3</v>
      </c>
      <c r="E21" s="38" t="s">
        <v>105</v>
      </c>
      <c r="F21" s="42" t="s">
        <v>88</v>
      </c>
      <c r="G21" s="5"/>
    </row>
    <row r="22" spans="1:7" x14ac:dyDescent="0.3">
      <c r="A22" s="51"/>
      <c r="B22" s="51"/>
      <c r="C22" s="38">
        <v>1</v>
      </c>
      <c r="D22" s="38">
        <f t="shared" si="0"/>
        <v>2E-3</v>
      </c>
      <c r="E22" s="38" t="s">
        <v>81</v>
      </c>
      <c r="F22" s="42" t="s">
        <v>106</v>
      </c>
      <c r="G22" s="5"/>
    </row>
    <row r="23" spans="1:7" x14ac:dyDescent="0.3">
      <c r="A23" s="51"/>
      <c r="B23" s="51"/>
      <c r="C23" s="38">
        <v>1</v>
      </c>
      <c r="D23" s="38">
        <f t="shared" si="0"/>
        <v>2E-3</v>
      </c>
      <c r="E23" s="38" t="s">
        <v>107</v>
      </c>
      <c r="F23" s="42" t="s">
        <v>108</v>
      </c>
      <c r="G23" s="5"/>
    </row>
    <row r="24" spans="1:7" x14ac:dyDescent="0.3">
      <c r="A24" s="51"/>
      <c r="B24" s="51"/>
      <c r="C24" s="38">
        <v>1</v>
      </c>
      <c r="D24" s="38">
        <f t="shared" si="0"/>
        <v>2E-3</v>
      </c>
      <c r="E24" s="38" t="s">
        <v>89</v>
      </c>
      <c r="F24" s="42" t="s">
        <v>90</v>
      </c>
      <c r="G24" s="5"/>
    </row>
    <row r="25" spans="1:7" x14ac:dyDescent="0.3">
      <c r="A25" s="51"/>
      <c r="B25" s="51"/>
      <c r="C25" s="38">
        <v>5</v>
      </c>
      <c r="D25" s="38">
        <f t="shared" si="0"/>
        <v>0.01</v>
      </c>
      <c r="E25" s="38" t="s">
        <v>93</v>
      </c>
      <c r="F25" s="42" t="s">
        <v>94</v>
      </c>
      <c r="G25" s="5"/>
    </row>
    <row r="26" spans="1:7" x14ac:dyDescent="0.3">
      <c r="A26" s="51"/>
      <c r="B26" s="51"/>
      <c r="C26" s="38">
        <v>1</v>
      </c>
      <c r="D26" s="38">
        <f t="shared" si="0"/>
        <v>2E-3</v>
      </c>
      <c r="E26" s="38" t="s">
        <v>95</v>
      </c>
      <c r="F26" s="42" t="s">
        <v>96</v>
      </c>
      <c r="G26" s="5"/>
    </row>
    <row r="27" spans="1:7" x14ac:dyDescent="0.3">
      <c r="A27" s="51"/>
      <c r="B27" s="51"/>
      <c r="C27" s="38">
        <v>2</v>
      </c>
      <c r="D27" s="38">
        <f t="shared" si="0"/>
        <v>4.0000000000000001E-3</v>
      </c>
      <c r="E27" s="38" t="s">
        <v>91</v>
      </c>
      <c r="F27" s="42" t="s">
        <v>92</v>
      </c>
      <c r="G27" s="5"/>
    </row>
    <row r="28" spans="1:7" x14ac:dyDescent="0.3">
      <c r="A28" s="52"/>
      <c r="B28" s="52"/>
      <c r="C28" s="38">
        <v>1</v>
      </c>
      <c r="D28" s="38">
        <f t="shared" si="0"/>
        <v>2E-3</v>
      </c>
      <c r="E28" s="38" t="s">
        <v>97</v>
      </c>
      <c r="F28" s="42" t="s">
        <v>98</v>
      </c>
      <c r="G28" s="5"/>
    </row>
    <row r="29" spans="1:7" ht="28.8" x14ac:dyDescent="0.3">
      <c r="A29" s="47" t="s">
        <v>7</v>
      </c>
      <c r="B29" s="47">
        <v>1</v>
      </c>
      <c r="C29" s="39">
        <v>1</v>
      </c>
      <c r="D29" s="39">
        <f t="shared" si="0"/>
        <v>2E-3</v>
      </c>
      <c r="E29" s="41" t="s">
        <v>109</v>
      </c>
      <c r="F29" s="41" t="s">
        <v>110</v>
      </c>
      <c r="G29" s="5">
        <f>SUM(D29:D41)</f>
        <v>6.6000000000000017E-2</v>
      </c>
    </row>
    <row r="30" spans="1:7" x14ac:dyDescent="0.3">
      <c r="A30" s="48"/>
      <c r="B30" s="48"/>
      <c r="C30" s="39">
        <v>1</v>
      </c>
      <c r="D30" s="39">
        <f t="shared" si="0"/>
        <v>2E-3</v>
      </c>
      <c r="E30" s="41" t="s">
        <v>81</v>
      </c>
      <c r="F30" s="41" t="s">
        <v>111</v>
      </c>
      <c r="G30" s="5"/>
    </row>
    <row r="31" spans="1:7" x14ac:dyDescent="0.3">
      <c r="A31" s="48"/>
      <c r="B31" s="48"/>
      <c r="C31" s="39">
        <v>5</v>
      </c>
      <c r="D31" s="39">
        <f t="shared" si="0"/>
        <v>0.01</v>
      </c>
      <c r="E31" s="41" t="s">
        <v>101</v>
      </c>
      <c r="F31" s="41" t="s">
        <v>112</v>
      </c>
      <c r="G31" s="5"/>
    </row>
    <row r="32" spans="1:7" x14ac:dyDescent="0.3">
      <c r="A32" s="48"/>
      <c r="B32" s="48"/>
      <c r="C32" s="39">
        <v>5</v>
      </c>
      <c r="D32" s="39">
        <f t="shared" si="0"/>
        <v>0.01</v>
      </c>
      <c r="E32" s="41" t="s">
        <v>85</v>
      </c>
      <c r="F32" s="41" t="s">
        <v>86</v>
      </c>
      <c r="G32" s="5"/>
    </row>
    <row r="33" spans="1:7" ht="28.8" x14ac:dyDescent="0.3">
      <c r="A33" s="48"/>
      <c r="B33" s="48"/>
      <c r="C33" s="39">
        <v>1</v>
      </c>
      <c r="D33" s="39">
        <f t="shared" si="0"/>
        <v>2E-3</v>
      </c>
      <c r="E33" s="41" t="s">
        <v>105</v>
      </c>
      <c r="F33" s="41" t="s">
        <v>88</v>
      </c>
      <c r="G33" s="5"/>
    </row>
    <row r="34" spans="1:7" x14ac:dyDescent="0.3">
      <c r="A34" s="48"/>
      <c r="B34" s="48"/>
      <c r="C34" s="39">
        <v>1</v>
      </c>
      <c r="D34" s="39">
        <f t="shared" ref="D34:D65" si="2">ROUND(C34/480,3)</f>
        <v>2E-3</v>
      </c>
      <c r="E34" s="41" t="s">
        <v>107</v>
      </c>
      <c r="F34" s="41" t="s">
        <v>113</v>
      </c>
      <c r="G34" s="5"/>
    </row>
    <row r="35" spans="1:7" x14ac:dyDescent="0.3">
      <c r="A35" s="48"/>
      <c r="B35" s="48"/>
      <c r="C35" s="39">
        <v>5</v>
      </c>
      <c r="D35" s="39">
        <f t="shared" si="2"/>
        <v>0.01</v>
      </c>
      <c r="E35" s="41" t="s">
        <v>83</v>
      </c>
      <c r="F35" s="41" t="s">
        <v>114</v>
      </c>
      <c r="G35" s="5"/>
    </row>
    <row r="36" spans="1:7" s="14" customFormat="1" ht="28.8" x14ac:dyDescent="0.3">
      <c r="A36" s="48"/>
      <c r="B36" s="48"/>
      <c r="C36" s="39">
        <v>1</v>
      </c>
      <c r="D36" s="39">
        <f t="shared" si="2"/>
        <v>2E-3</v>
      </c>
      <c r="E36" s="41" t="s">
        <v>115</v>
      </c>
      <c r="F36" s="41" t="s">
        <v>103</v>
      </c>
      <c r="G36" s="23"/>
    </row>
    <row r="37" spans="1:7" x14ac:dyDescent="0.3">
      <c r="A37" s="48"/>
      <c r="B37" s="48"/>
      <c r="C37" s="39">
        <v>5</v>
      </c>
      <c r="D37" s="39">
        <f t="shared" si="2"/>
        <v>0.01</v>
      </c>
      <c r="E37" s="41" t="s">
        <v>116</v>
      </c>
      <c r="F37" s="41" t="s">
        <v>117</v>
      </c>
      <c r="G37" s="5"/>
    </row>
    <row r="38" spans="1:7" s="14" customFormat="1" x14ac:dyDescent="0.3">
      <c r="A38" s="48"/>
      <c r="B38" s="48"/>
      <c r="C38" s="39">
        <v>1</v>
      </c>
      <c r="D38" s="39">
        <f t="shared" si="2"/>
        <v>2E-3</v>
      </c>
      <c r="E38" s="41" t="s">
        <v>91</v>
      </c>
      <c r="F38" s="41" t="s">
        <v>92</v>
      </c>
      <c r="G38" s="23"/>
    </row>
    <row r="39" spans="1:7" x14ac:dyDescent="0.3">
      <c r="A39" s="48"/>
      <c r="B39" s="48"/>
      <c r="C39" s="39">
        <v>5</v>
      </c>
      <c r="D39" s="39">
        <f t="shared" si="2"/>
        <v>0.01</v>
      </c>
      <c r="E39" s="41" t="s">
        <v>93</v>
      </c>
      <c r="F39" s="41" t="s">
        <v>94</v>
      </c>
      <c r="G39" s="5"/>
    </row>
    <row r="40" spans="1:7" x14ac:dyDescent="0.3">
      <c r="A40" s="48"/>
      <c r="B40" s="48"/>
      <c r="C40" s="39">
        <v>1</v>
      </c>
      <c r="D40" s="39">
        <f t="shared" si="2"/>
        <v>2E-3</v>
      </c>
      <c r="E40" s="41" t="s">
        <v>95</v>
      </c>
      <c r="F40" s="41" t="s">
        <v>96</v>
      </c>
      <c r="G40" s="5"/>
    </row>
    <row r="41" spans="1:7" x14ac:dyDescent="0.3">
      <c r="A41" s="49"/>
      <c r="B41" s="49"/>
      <c r="C41" s="39">
        <v>1</v>
      </c>
      <c r="D41" s="39">
        <f t="shared" si="2"/>
        <v>2E-3</v>
      </c>
      <c r="E41" s="39" t="s">
        <v>97</v>
      </c>
      <c r="F41" s="41" t="s">
        <v>98</v>
      </c>
      <c r="G41" s="5"/>
    </row>
    <row r="42" spans="1:7" s="53" customFormat="1" x14ac:dyDescent="0.3">
      <c r="A42" s="50" t="s">
        <v>10</v>
      </c>
      <c r="B42" s="50">
        <v>1</v>
      </c>
      <c r="C42" s="38">
        <v>1</v>
      </c>
      <c r="D42" s="38">
        <f t="shared" si="2"/>
        <v>2E-3</v>
      </c>
      <c r="E42" s="38" t="s">
        <v>118</v>
      </c>
      <c r="F42" s="42" t="s">
        <v>11</v>
      </c>
      <c r="G42" s="21">
        <f>SUM(D42:D45)</f>
        <v>2.4E-2</v>
      </c>
    </row>
    <row r="43" spans="1:7" s="53" customFormat="1" x14ac:dyDescent="0.3">
      <c r="A43" s="51"/>
      <c r="B43" s="51"/>
      <c r="C43" s="38">
        <v>1</v>
      </c>
      <c r="D43" s="38">
        <f t="shared" si="2"/>
        <v>2E-3</v>
      </c>
      <c r="E43" s="38" t="s">
        <v>119</v>
      </c>
      <c r="F43" s="42"/>
      <c r="G43" s="21"/>
    </row>
    <row r="44" spans="1:7" s="53" customFormat="1" x14ac:dyDescent="0.3">
      <c r="A44" s="51"/>
      <c r="B44" s="51"/>
      <c r="C44" s="38">
        <v>5</v>
      </c>
      <c r="D44" s="38">
        <f t="shared" si="2"/>
        <v>0.01</v>
      </c>
      <c r="E44" s="38" t="s">
        <v>85</v>
      </c>
      <c r="F44" s="42"/>
      <c r="G44" s="21"/>
    </row>
    <row r="45" spans="1:7" s="53" customFormat="1" x14ac:dyDescent="0.3">
      <c r="A45" s="52"/>
      <c r="B45" s="52"/>
      <c r="C45" s="38">
        <v>5</v>
      </c>
      <c r="D45" s="38">
        <f t="shared" si="2"/>
        <v>0.01</v>
      </c>
      <c r="E45" s="38" t="s">
        <v>93</v>
      </c>
      <c r="F45" s="42"/>
      <c r="G45" s="21"/>
    </row>
    <row r="46" spans="1:7" s="54" customFormat="1" x14ac:dyDescent="0.3">
      <c r="A46" s="47" t="s">
        <v>120</v>
      </c>
      <c r="B46" s="47">
        <v>1</v>
      </c>
      <c r="C46" s="39">
        <v>1</v>
      </c>
      <c r="D46" s="39">
        <f t="shared" si="2"/>
        <v>2E-3</v>
      </c>
      <c r="E46" s="39" t="s">
        <v>118</v>
      </c>
      <c r="F46" s="41"/>
      <c r="G46" s="22">
        <f>SUM(D46:D47)</f>
        <v>4.0000000000000001E-3</v>
      </c>
    </row>
    <row r="47" spans="1:7" s="54" customFormat="1" ht="13.8" customHeight="1" x14ac:dyDescent="0.3">
      <c r="A47" s="49"/>
      <c r="B47" s="49"/>
      <c r="C47" s="39">
        <v>1</v>
      </c>
      <c r="D47" s="39">
        <f t="shared" si="2"/>
        <v>2E-3</v>
      </c>
      <c r="E47" s="39" t="s">
        <v>119</v>
      </c>
      <c r="F47" s="41"/>
      <c r="G47" s="22"/>
    </row>
    <row r="48" spans="1:7" s="53" customFormat="1" x14ac:dyDescent="0.3">
      <c r="A48" s="50" t="s">
        <v>121</v>
      </c>
      <c r="B48" s="50">
        <v>1</v>
      </c>
      <c r="C48" s="38">
        <v>1</v>
      </c>
      <c r="D48" s="38">
        <f t="shared" si="2"/>
        <v>2E-3</v>
      </c>
      <c r="E48" s="38" t="s">
        <v>118</v>
      </c>
      <c r="F48" s="42"/>
      <c r="G48" s="21">
        <f>SUM(D48:D51)</f>
        <v>8.0000000000000002E-3</v>
      </c>
    </row>
    <row r="49" spans="1:7" s="53" customFormat="1" x14ac:dyDescent="0.3">
      <c r="A49" s="51"/>
      <c r="B49" s="51"/>
      <c r="C49" s="38">
        <v>1</v>
      </c>
      <c r="D49" s="38">
        <f t="shared" si="2"/>
        <v>2E-3</v>
      </c>
      <c r="E49" s="38" t="s">
        <v>119</v>
      </c>
      <c r="F49" s="42"/>
      <c r="G49" s="21"/>
    </row>
    <row r="50" spans="1:7" s="53" customFormat="1" x14ac:dyDescent="0.3">
      <c r="A50" s="51"/>
      <c r="B50" s="51"/>
      <c r="C50" s="38">
        <v>1</v>
      </c>
      <c r="D50" s="38">
        <f t="shared" si="2"/>
        <v>2E-3</v>
      </c>
      <c r="E50" s="38" t="s">
        <v>122</v>
      </c>
      <c r="F50" s="42"/>
      <c r="G50" s="21"/>
    </row>
    <row r="51" spans="1:7" s="53" customFormat="1" x14ac:dyDescent="0.3">
      <c r="A51" s="52"/>
      <c r="B51" s="52"/>
      <c r="C51" s="38">
        <v>1</v>
      </c>
      <c r="D51" s="38">
        <f t="shared" si="2"/>
        <v>2E-3</v>
      </c>
      <c r="E51" s="38" t="s">
        <v>123</v>
      </c>
      <c r="F51" s="42"/>
      <c r="G51" s="21"/>
    </row>
    <row r="52" spans="1:7" s="54" customFormat="1" x14ac:dyDescent="0.3">
      <c r="A52" s="39" t="s">
        <v>8</v>
      </c>
      <c r="B52" s="39">
        <v>1</v>
      </c>
      <c r="C52" s="39">
        <v>1</v>
      </c>
      <c r="D52" s="39">
        <f t="shared" si="2"/>
        <v>2E-3</v>
      </c>
      <c r="E52" s="39" t="s">
        <v>173</v>
      </c>
      <c r="F52" s="55" t="s">
        <v>9</v>
      </c>
      <c r="G52" s="22">
        <f>SUM('CPC (New)'!$D52)</f>
        <v>2E-3</v>
      </c>
    </row>
    <row r="53" spans="1:7" s="53" customFormat="1" x14ac:dyDescent="0.3">
      <c r="A53" s="38" t="s">
        <v>124</v>
      </c>
      <c r="B53" s="38">
        <v>1</v>
      </c>
      <c r="C53" s="38">
        <v>5</v>
      </c>
      <c r="D53" s="38">
        <f t="shared" si="2"/>
        <v>0.01</v>
      </c>
      <c r="E53" s="38" t="s">
        <v>124</v>
      </c>
      <c r="F53" s="42" t="s">
        <v>125</v>
      </c>
      <c r="G53" s="21">
        <f t="shared" ref="G53:G58" si="3">SUM(D53)</f>
        <v>0.01</v>
      </c>
    </row>
    <row r="54" spans="1:7" s="54" customFormat="1" x14ac:dyDescent="0.3">
      <c r="A54" s="39" t="s">
        <v>126</v>
      </c>
      <c r="B54" s="39">
        <v>1</v>
      </c>
      <c r="C54" s="39">
        <v>20</v>
      </c>
      <c r="D54" s="39">
        <f t="shared" si="2"/>
        <v>4.2000000000000003E-2</v>
      </c>
      <c r="E54" s="39" t="s">
        <v>126</v>
      </c>
      <c r="F54" s="41" t="s">
        <v>127</v>
      </c>
      <c r="G54" s="22">
        <f t="shared" si="3"/>
        <v>4.2000000000000003E-2</v>
      </c>
    </row>
    <row r="55" spans="1:7" s="53" customFormat="1" x14ac:dyDescent="0.3">
      <c r="A55" s="38" t="s">
        <v>128</v>
      </c>
      <c r="B55" s="38">
        <v>1</v>
      </c>
      <c r="C55" s="38">
        <v>15</v>
      </c>
      <c r="D55" s="38">
        <f t="shared" si="2"/>
        <v>3.1E-2</v>
      </c>
      <c r="E55" s="38" t="s">
        <v>174</v>
      </c>
      <c r="F55" s="42" t="s">
        <v>19</v>
      </c>
      <c r="G55" s="21">
        <f t="shared" si="3"/>
        <v>3.1E-2</v>
      </c>
    </row>
    <row r="56" spans="1:7" s="54" customFormat="1" ht="28.8" x14ac:dyDescent="0.3">
      <c r="A56" s="39" t="s">
        <v>12</v>
      </c>
      <c r="B56" s="39">
        <v>1</v>
      </c>
      <c r="C56" s="39">
        <v>10</v>
      </c>
      <c r="D56" s="39">
        <f t="shared" si="2"/>
        <v>2.1000000000000001E-2</v>
      </c>
      <c r="E56" s="41" t="s">
        <v>175</v>
      </c>
      <c r="F56" s="41" t="s">
        <v>129</v>
      </c>
      <c r="G56" s="22">
        <f t="shared" si="3"/>
        <v>2.1000000000000001E-2</v>
      </c>
    </row>
    <row r="57" spans="1:7" s="53" customFormat="1" ht="57.6" x14ac:dyDescent="0.3">
      <c r="A57" s="38" t="s">
        <v>13</v>
      </c>
      <c r="B57" s="38">
        <v>1</v>
      </c>
      <c r="C57" s="38">
        <v>5</v>
      </c>
      <c r="D57" s="38">
        <f t="shared" si="2"/>
        <v>0.01</v>
      </c>
      <c r="E57" s="42" t="s">
        <v>14</v>
      </c>
      <c r="F57" s="42" t="s">
        <v>14</v>
      </c>
      <c r="G57" s="21">
        <f t="shared" si="3"/>
        <v>0.01</v>
      </c>
    </row>
    <row r="58" spans="1:7" s="54" customFormat="1" x14ac:dyDescent="0.3">
      <c r="A58" s="39" t="s">
        <v>15</v>
      </c>
      <c r="B58" s="39"/>
      <c r="C58" s="39">
        <v>1</v>
      </c>
      <c r="D58" s="39">
        <f t="shared" si="2"/>
        <v>2E-3</v>
      </c>
      <c r="E58" s="39" t="s">
        <v>176</v>
      </c>
      <c r="F58" s="39" t="s">
        <v>130</v>
      </c>
      <c r="G58" s="22">
        <f t="shared" si="3"/>
        <v>2E-3</v>
      </c>
    </row>
    <row r="59" spans="1:7" ht="72" x14ac:dyDescent="0.3">
      <c r="A59" s="38" t="s">
        <v>16</v>
      </c>
      <c r="B59" s="38">
        <v>1</v>
      </c>
      <c r="C59" s="38">
        <v>26</v>
      </c>
      <c r="D59" s="38">
        <f t="shared" si="2"/>
        <v>5.3999999999999999E-2</v>
      </c>
      <c r="E59" s="43" t="s">
        <v>177</v>
      </c>
      <c r="F59" s="42" t="s">
        <v>131</v>
      </c>
      <c r="G59" s="21">
        <f>SUM('CPC (New)'!$D59)</f>
        <v>5.3999999999999999E-2</v>
      </c>
    </row>
    <row r="60" spans="1:7" x14ac:dyDescent="0.3">
      <c r="A60" s="39" t="s">
        <v>17</v>
      </c>
      <c r="B60" s="39">
        <v>1</v>
      </c>
      <c r="C60" s="39">
        <v>10</v>
      </c>
      <c r="D60" s="39">
        <f t="shared" si="2"/>
        <v>2.1000000000000001E-2</v>
      </c>
      <c r="E60" s="39" t="s">
        <v>18</v>
      </c>
      <c r="F60" s="39" t="s">
        <v>18</v>
      </c>
      <c r="G60" s="22">
        <f>SUM('CPC (New)'!$D60)</f>
        <v>2.1000000000000001E-2</v>
      </c>
    </row>
    <row r="61" spans="1:7" x14ac:dyDescent="0.3">
      <c r="A61" s="38" t="s">
        <v>20</v>
      </c>
      <c r="B61" s="38">
        <v>1</v>
      </c>
      <c r="C61" s="38">
        <v>10</v>
      </c>
      <c r="D61" s="38">
        <f t="shared" si="2"/>
        <v>2.1000000000000001E-2</v>
      </c>
      <c r="E61" s="38" t="s">
        <v>21</v>
      </c>
      <c r="F61" s="38" t="s">
        <v>21</v>
      </c>
      <c r="G61" s="21">
        <f>SUM('CPC (New)'!$D61)</f>
        <v>2.1000000000000001E-2</v>
      </c>
    </row>
    <row r="62" spans="1:7" x14ac:dyDescent="0.3">
      <c r="A62" s="39" t="s">
        <v>22</v>
      </c>
      <c r="B62" s="39">
        <v>1</v>
      </c>
      <c r="C62" s="39">
        <v>60</v>
      </c>
      <c r="D62" s="39">
        <f t="shared" si="2"/>
        <v>0.125</v>
      </c>
      <c r="E62" s="39" t="s">
        <v>178</v>
      </c>
      <c r="F62" s="39" t="s">
        <v>23</v>
      </c>
      <c r="G62" s="22">
        <f>SUM('CPC (New)'!$D62)</f>
        <v>0.125</v>
      </c>
    </row>
    <row r="63" spans="1:7" x14ac:dyDescent="0.3">
      <c r="A63" s="38" t="s">
        <v>24</v>
      </c>
      <c r="B63" s="38">
        <v>1</v>
      </c>
      <c r="C63" s="38">
        <v>5</v>
      </c>
      <c r="D63" s="38">
        <f t="shared" si="2"/>
        <v>0.01</v>
      </c>
      <c r="E63" s="38" t="s">
        <v>25</v>
      </c>
      <c r="F63" s="38" t="s">
        <v>25</v>
      </c>
      <c r="G63" s="21">
        <f>SUM('CPC (New)'!$D63)</f>
        <v>0.01</v>
      </c>
    </row>
    <row r="64" spans="1:7" s="54" customFormat="1" ht="28.8" x14ac:dyDescent="0.3">
      <c r="A64" s="39" t="s">
        <v>132</v>
      </c>
      <c r="B64" s="39">
        <v>1</v>
      </c>
      <c r="C64" s="39">
        <v>10</v>
      </c>
      <c r="D64" s="39">
        <f t="shared" si="2"/>
        <v>2.1000000000000001E-2</v>
      </c>
      <c r="E64" s="41" t="s">
        <v>179</v>
      </c>
      <c r="F64" s="39" t="s">
        <v>133</v>
      </c>
      <c r="G64" s="22">
        <f>SUM(D64)</f>
        <v>2.1000000000000001E-2</v>
      </c>
    </row>
    <row r="65" spans="1:7" x14ac:dyDescent="0.3">
      <c r="A65" s="38" t="s">
        <v>134</v>
      </c>
      <c r="B65" s="38">
        <v>1</v>
      </c>
      <c r="C65" s="38">
        <v>10</v>
      </c>
      <c r="D65" s="38">
        <f t="shared" si="2"/>
        <v>2.1000000000000001E-2</v>
      </c>
      <c r="E65" s="38" t="s">
        <v>180</v>
      </c>
      <c r="F65" s="38" t="s">
        <v>135</v>
      </c>
      <c r="G65" s="21">
        <f>SUM(D65)</f>
        <v>2.1000000000000001E-2</v>
      </c>
    </row>
    <row r="66" spans="1:7" ht="28.8" x14ac:dyDescent="0.3">
      <c r="A66" s="39" t="s">
        <v>136</v>
      </c>
      <c r="B66" s="39">
        <v>1</v>
      </c>
      <c r="C66" s="39">
        <v>5</v>
      </c>
      <c r="D66" s="39">
        <f>ROUNDUP(C66/480,2)</f>
        <v>0.02</v>
      </c>
      <c r="E66" s="41" t="s">
        <v>181</v>
      </c>
      <c r="F66" s="39" t="s">
        <v>137</v>
      </c>
      <c r="G66" s="24">
        <f>SUM(D66)</f>
        <v>0.02</v>
      </c>
    </row>
    <row r="67" spans="1:7" x14ac:dyDescent="0.3">
      <c r="A67" s="38" t="s">
        <v>138</v>
      </c>
      <c r="B67" s="38">
        <v>1</v>
      </c>
      <c r="C67" s="38">
        <v>5</v>
      </c>
      <c r="D67" s="38">
        <f>ROUNDUP(C67/480,2)</f>
        <v>0.02</v>
      </c>
      <c r="E67" s="38" t="s">
        <v>182</v>
      </c>
      <c r="F67" s="38" t="s">
        <v>139</v>
      </c>
      <c r="G67" s="25">
        <f>SUM(D67)</f>
        <v>0.02</v>
      </c>
    </row>
    <row r="68" spans="1:7" x14ac:dyDescent="0.3">
      <c r="A68" s="5"/>
      <c r="B68" s="5"/>
      <c r="C68" s="5"/>
      <c r="D68" s="5"/>
      <c r="E68" s="5"/>
      <c r="F68" s="5"/>
      <c r="G68" s="5"/>
    </row>
    <row r="69" spans="1:7" x14ac:dyDescent="0.3">
      <c r="A69" s="5"/>
      <c r="B69" s="5"/>
      <c r="C69" s="5"/>
      <c r="D69" s="5"/>
      <c r="E69" s="5"/>
      <c r="F69" s="5"/>
      <c r="G69" s="5"/>
    </row>
    <row r="70" spans="1:7" x14ac:dyDescent="0.3">
      <c r="A70" s="5"/>
      <c r="B70" s="5"/>
      <c r="C70" s="5"/>
      <c r="D70" s="5"/>
      <c r="E70" s="5"/>
      <c r="F70" s="5"/>
      <c r="G70" s="5"/>
    </row>
    <row r="71" spans="1:7" x14ac:dyDescent="0.3">
      <c r="A71" s="5"/>
      <c r="B71" s="5"/>
      <c r="C71" s="5"/>
      <c r="D71" s="5"/>
      <c r="E71" s="5"/>
      <c r="F71" s="5"/>
      <c r="G71" s="5"/>
    </row>
    <row r="72" spans="1:7" x14ac:dyDescent="0.3">
      <c r="A72" s="5"/>
      <c r="B72" s="5"/>
      <c r="C72" s="5"/>
      <c r="D72" s="5"/>
      <c r="E72" s="5"/>
      <c r="F72" s="5"/>
      <c r="G72" s="5"/>
    </row>
    <row r="73" spans="1:7" x14ac:dyDescent="0.3">
      <c r="A73" s="5"/>
      <c r="B73" s="5"/>
      <c r="C73" s="5"/>
      <c r="D73" s="5"/>
      <c r="E73" s="5"/>
      <c r="F73" s="5"/>
      <c r="G73" s="5"/>
    </row>
    <row r="74" spans="1:7" x14ac:dyDescent="0.3">
      <c r="A74" s="5"/>
      <c r="B74" s="5"/>
      <c r="C74" s="5"/>
      <c r="D74" s="5"/>
      <c r="E74" s="5"/>
      <c r="F74" s="5"/>
      <c r="G74" s="5"/>
    </row>
    <row r="76" spans="1:7" x14ac:dyDescent="0.3">
      <c r="A76" t="s">
        <v>26</v>
      </c>
      <c r="B76">
        <v>1</v>
      </c>
      <c r="D76">
        <v>0.02</v>
      </c>
    </row>
    <row r="77" spans="1:7" x14ac:dyDescent="0.3">
      <c r="A77" t="s">
        <v>27</v>
      </c>
      <c r="B77">
        <v>1</v>
      </c>
      <c r="D77">
        <v>0.01</v>
      </c>
    </row>
    <row r="78" spans="1:7" x14ac:dyDescent="0.3">
      <c r="A78" t="s">
        <v>28</v>
      </c>
      <c r="B78">
        <v>1</v>
      </c>
      <c r="D78">
        <v>0.05</v>
      </c>
    </row>
    <row r="79" spans="1:7" x14ac:dyDescent="0.3">
      <c r="A79" t="s">
        <v>29</v>
      </c>
    </row>
    <row r="80" spans="1:7" x14ac:dyDescent="0.3">
      <c r="A80" t="s">
        <v>30</v>
      </c>
    </row>
    <row r="81" spans="1:1" x14ac:dyDescent="0.3">
      <c r="A81" t="s">
        <v>31</v>
      </c>
    </row>
  </sheetData>
  <mergeCells count="12">
    <mergeCell ref="A42:A45"/>
    <mergeCell ref="B42:B45"/>
    <mergeCell ref="A46:A47"/>
    <mergeCell ref="B46:B47"/>
    <mergeCell ref="A48:A51"/>
    <mergeCell ref="B48:B51"/>
    <mergeCell ref="A3:A15"/>
    <mergeCell ref="B3:B15"/>
    <mergeCell ref="A16:A28"/>
    <mergeCell ref="B16:B28"/>
    <mergeCell ref="A29:A41"/>
    <mergeCell ref="B29:B4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6305-C21D-4FA3-98EF-44A7A63E57A3}">
  <dimension ref="A2:E19"/>
  <sheetViews>
    <sheetView tabSelected="1" workbookViewId="0">
      <selection activeCell="D24" sqref="D24"/>
    </sheetView>
  </sheetViews>
  <sheetFormatPr defaultRowHeight="15" customHeight="1" x14ac:dyDescent="0.3"/>
  <cols>
    <col min="1" max="1" width="9" customWidth="1"/>
    <col min="2" max="2" width="55" customWidth="1"/>
    <col min="3" max="3" width="13.5546875" bestFit="1" customWidth="1"/>
    <col min="4" max="4" width="18.33203125" customWidth="1"/>
    <col min="5" max="5" width="131.33203125" customWidth="1"/>
  </cols>
  <sheetData>
    <row r="2" spans="1:5" ht="14.4" x14ac:dyDescent="0.3">
      <c r="A2" s="6" t="s">
        <v>140</v>
      </c>
      <c r="B2" s="7" t="s">
        <v>0</v>
      </c>
      <c r="C2" s="6" t="s">
        <v>141</v>
      </c>
      <c r="D2" s="6" t="s">
        <v>2</v>
      </c>
      <c r="E2" s="8" t="s">
        <v>35</v>
      </c>
    </row>
    <row r="3" spans="1:5" ht="14.4" x14ac:dyDescent="0.3">
      <c r="A3" s="9">
        <v>1</v>
      </c>
      <c r="B3" s="10" t="s">
        <v>142</v>
      </c>
      <c r="C3" s="2">
        <v>5</v>
      </c>
      <c r="D3" s="2">
        <f>ROUNDUP(C3/480,2)</f>
        <v>0.02</v>
      </c>
      <c r="E3" s="2" t="s">
        <v>143</v>
      </c>
    </row>
    <row r="4" spans="1:5" ht="14.4" x14ac:dyDescent="0.3">
      <c r="A4" s="9">
        <v>2</v>
      </c>
      <c r="B4" s="10" t="s">
        <v>33</v>
      </c>
      <c r="C4" s="2">
        <v>2</v>
      </c>
      <c r="D4" s="2">
        <f t="shared" ref="D4:D17" si="0">ROUNDUP(C4/480,2)</f>
        <v>0.01</v>
      </c>
      <c r="E4" s="2" t="s">
        <v>144</v>
      </c>
    </row>
    <row r="5" spans="1:5" ht="14.4" x14ac:dyDescent="0.3">
      <c r="A5" s="9">
        <v>3</v>
      </c>
      <c r="B5" s="10" t="s">
        <v>145</v>
      </c>
      <c r="C5" s="2">
        <v>20</v>
      </c>
      <c r="D5" s="2">
        <f t="shared" si="0"/>
        <v>0.05</v>
      </c>
      <c r="E5" s="2" t="s">
        <v>146</v>
      </c>
    </row>
    <row r="6" spans="1:5" ht="14.4" x14ac:dyDescent="0.3">
      <c r="A6" s="9">
        <v>4</v>
      </c>
      <c r="B6" s="10" t="s">
        <v>147</v>
      </c>
      <c r="C6" s="2">
        <v>10</v>
      </c>
      <c r="D6" s="2">
        <f t="shared" si="0"/>
        <v>0.03</v>
      </c>
      <c r="E6" s="2" t="s">
        <v>148</v>
      </c>
    </row>
    <row r="7" spans="1:5" ht="14.4" x14ac:dyDescent="0.3">
      <c r="A7" s="9">
        <v>5</v>
      </c>
      <c r="B7" s="2" t="s">
        <v>149</v>
      </c>
      <c r="C7" s="2">
        <v>15</v>
      </c>
      <c r="D7" s="2">
        <f t="shared" si="0"/>
        <v>0.04</v>
      </c>
      <c r="E7" s="2" t="s">
        <v>150</v>
      </c>
    </row>
    <row r="8" spans="1:5" ht="14.4" x14ac:dyDescent="0.3">
      <c r="A8" s="9">
        <v>6</v>
      </c>
      <c r="B8" s="10" t="s">
        <v>151</v>
      </c>
      <c r="C8" s="2">
        <v>120</v>
      </c>
      <c r="D8" s="2">
        <f t="shared" si="0"/>
        <v>0.25</v>
      </c>
      <c r="E8" s="2" t="s">
        <v>152</v>
      </c>
    </row>
    <row r="9" spans="1:5" ht="14.4" x14ac:dyDescent="0.3">
      <c r="A9" s="9">
        <v>7</v>
      </c>
      <c r="B9" s="10" t="s">
        <v>153</v>
      </c>
      <c r="C9" s="2">
        <v>120</v>
      </c>
      <c r="D9" s="2">
        <f t="shared" si="0"/>
        <v>0.25</v>
      </c>
      <c r="E9" s="2" t="s">
        <v>154</v>
      </c>
    </row>
    <row r="10" spans="1:5" ht="14.4" x14ac:dyDescent="0.3">
      <c r="A10" s="9">
        <v>8</v>
      </c>
      <c r="B10" s="2" t="s">
        <v>155</v>
      </c>
      <c r="C10" s="2">
        <v>30</v>
      </c>
      <c r="D10" s="2">
        <f t="shared" si="0"/>
        <v>6.9999999999999993E-2</v>
      </c>
      <c r="E10" s="2" t="s">
        <v>156</v>
      </c>
    </row>
    <row r="11" spans="1:5" ht="14.4" x14ac:dyDescent="0.3">
      <c r="A11" s="9">
        <v>9</v>
      </c>
      <c r="B11" s="2" t="s">
        <v>157</v>
      </c>
      <c r="C11" s="2">
        <v>15</v>
      </c>
      <c r="D11" s="2">
        <f t="shared" si="0"/>
        <v>0.04</v>
      </c>
      <c r="E11" s="2" t="s">
        <v>158</v>
      </c>
    </row>
    <row r="12" spans="1:5" ht="14.4" x14ac:dyDescent="0.3">
      <c r="A12" s="9">
        <v>10</v>
      </c>
      <c r="B12" s="2" t="s">
        <v>159</v>
      </c>
      <c r="C12" s="2">
        <v>10</v>
      </c>
      <c r="D12" s="2">
        <f t="shared" si="0"/>
        <v>0.03</v>
      </c>
      <c r="E12" s="2" t="s">
        <v>160</v>
      </c>
    </row>
    <row r="13" spans="1:5" ht="14.4" x14ac:dyDescent="0.3">
      <c r="A13" s="9">
        <v>11</v>
      </c>
      <c r="B13" s="2" t="s">
        <v>161</v>
      </c>
      <c r="C13" s="2">
        <v>10</v>
      </c>
      <c r="D13" s="2">
        <f t="shared" si="0"/>
        <v>0.03</v>
      </c>
      <c r="E13" s="2" t="s">
        <v>162</v>
      </c>
    </row>
    <row r="14" spans="1:5" ht="14.4" x14ac:dyDescent="0.3">
      <c r="A14" s="9">
        <v>12</v>
      </c>
      <c r="B14" s="2" t="s">
        <v>163</v>
      </c>
      <c r="C14" s="2">
        <v>30</v>
      </c>
      <c r="D14" s="2">
        <f t="shared" si="0"/>
        <v>6.9999999999999993E-2</v>
      </c>
      <c r="E14" s="11" t="s">
        <v>164</v>
      </c>
    </row>
    <row r="15" spans="1:5" ht="14.4" x14ac:dyDescent="0.3">
      <c r="A15" s="12">
        <v>13</v>
      </c>
      <c r="B15" s="11" t="s">
        <v>165</v>
      </c>
      <c r="C15" s="11">
        <v>30</v>
      </c>
      <c r="D15" s="4">
        <v>7.0000000000000007E-2</v>
      </c>
      <c r="E15" s="3" t="s">
        <v>166</v>
      </c>
    </row>
    <row r="16" spans="1:5" ht="14.4" x14ac:dyDescent="0.3">
      <c r="A16" s="12">
        <v>14</v>
      </c>
      <c r="B16" s="11" t="s">
        <v>167</v>
      </c>
      <c r="C16" s="11">
        <v>30</v>
      </c>
      <c r="D16" s="11">
        <f t="shared" si="0"/>
        <v>6.9999999999999993E-2</v>
      </c>
      <c r="E16" s="18" t="s">
        <v>168</v>
      </c>
    </row>
    <row r="17" spans="1:5" ht="15" customHeight="1" x14ac:dyDescent="0.3">
      <c r="A17" s="13">
        <v>15</v>
      </c>
      <c r="B17" s="3" t="s">
        <v>24</v>
      </c>
      <c r="C17" s="3">
        <v>5</v>
      </c>
      <c r="D17" s="3">
        <f t="shared" si="0"/>
        <v>0.02</v>
      </c>
      <c r="E17" s="3" t="s">
        <v>24</v>
      </c>
    </row>
    <row r="18" spans="1:5" ht="15" customHeight="1" x14ac:dyDescent="0.3">
      <c r="A18" s="35">
        <v>16</v>
      </c>
      <c r="B18" s="56" t="s">
        <v>170</v>
      </c>
      <c r="C18" s="36">
        <v>5</v>
      </c>
      <c r="D18" s="36">
        <v>0.02</v>
      </c>
      <c r="E18" s="36" t="s">
        <v>171</v>
      </c>
    </row>
    <row r="19" spans="1:5" ht="15" customHeight="1" x14ac:dyDescent="0.3">
      <c r="A19" s="35">
        <v>17</v>
      </c>
      <c r="B19" s="57"/>
      <c r="C19" s="36">
        <v>20</v>
      </c>
      <c r="D19" s="36">
        <v>0.05</v>
      </c>
      <c r="E19" s="36" t="s">
        <v>172</v>
      </c>
    </row>
  </sheetData>
  <mergeCells count="1">
    <mergeCell ref="B18:B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70b3f0f-ad95-4873-a867-1db42e3f490d">
      <Terms xmlns="http://schemas.microsoft.com/office/infopath/2007/PartnerControls"/>
    </lcf76f155ced4ddcb4097134ff3c332f>
    <TaxCatchAll xmlns="5b474486-32f2-4b1b-92da-a10adc11c8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35BAA16712F34E858055A6F58A9183" ma:contentTypeVersion="14" ma:contentTypeDescription="Create a new document." ma:contentTypeScope="" ma:versionID="154e6db936ca119220ee03b28568bc48">
  <xsd:schema xmlns:xsd="http://www.w3.org/2001/XMLSchema" xmlns:xs="http://www.w3.org/2001/XMLSchema" xmlns:p="http://schemas.microsoft.com/office/2006/metadata/properties" xmlns:ns1="http://schemas.microsoft.com/sharepoint/v3" xmlns:ns2="a70b3f0f-ad95-4873-a867-1db42e3f490d" xmlns:ns3="5b474486-32f2-4b1b-92da-a10adc11c819" targetNamespace="http://schemas.microsoft.com/office/2006/metadata/properties" ma:root="true" ma:fieldsID="5d8e43c21c4ad456180d430ee7a121b1" ns1:_="" ns2:_="" ns3:_="">
    <xsd:import namespace="http://schemas.microsoft.com/sharepoint/v3"/>
    <xsd:import namespace="a70b3f0f-ad95-4873-a867-1db42e3f490d"/>
    <xsd:import namespace="5b474486-32f2-4b1b-92da-a10adc11c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b3f0f-ad95-4873-a867-1db42e3f49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8bc83f2-12b0-45bb-b8f0-f66f61a03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74486-32f2-4b1b-92da-a10adc11c81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ca3c5a1-f22e-44bd-93e7-8b30c07c7748}" ma:internalName="TaxCatchAll" ma:showField="CatchAllData" ma:web="5b474486-32f2-4b1b-92da-a10adc11c8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637D43-A3FC-4B98-B3E7-6C31DD9751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50AAD2-FA23-4514-B81F-83255208B9A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70b3f0f-ad95-4873-a867-1db42e3f490d"/>
    <ds:schemaRef ds:uri="5b474486-32f2-4b1b-92da-a10adc11c819"/>
  </ds:schemaRefs>
</ds:datastoreItem>
</file>

<file path=customXml/itemProps3.xml><?xml version="1.0" encoding="utf-8"?>
<ds:datastoreItem xmlns:ds="http://schemas.openxmlformats.org/officeDocument/2006/customXml" ds:itemID="{71194988-8BCF-4C00-9CAF-885ACF4AB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70b3f0f-ad95-4873-a867-1db42e3f490d"/>
    <ds:schemaRef ds:uri="5b474486-32f2-4b1b-92da-a10adc11c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COLC</vt:lpstr>
      <vt:lpstr>CIC (New)</vt:lpstr>
      <vt:lpstr>CSC(New)</vt:lpstr>
      <vt:lpstr>CPC (New)</vt:lpstr>
      <vt:lpstr>JNC (New)</vt:lpstr>
    </vt:vector>
  </TitlesOfParts>
  <Manager/>
  <Company>EUC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Siti Aminah Binti Mohd Izazi</dc:creator>
  <cp:keywords/>
  <dc:description/>
  <cp:lastModifiedBy>Siti Aminah Binti Mohd Izazi</cp:lastModifiedBy>
  <cp:revision/>
  <dcterms:created xsi:type="dcterms:W3CDTF">2026-01-07T08:30:05Z</dcterms:created>
  <dcterms:modified xsi:type="dcterms:W3CDTF">2026-09-14T04:07:32Z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0x010100A235BAA16712F34E858055A6F58A9183</vt:lpwstr>
  </property>
  <property fmtid="{D5CDD505-2E9C-101B-9397-08002B2CF9AE}" pid="3" name="MediaServiceImageTags">
    <vt:lpwstr/>
  </property>
</Properties>
</file>